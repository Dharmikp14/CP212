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/>
  <mc:AlternateContent xmlns:mc="http://schemas.openxmlformats.org/markup-compatibility/2006">
    <mc:Choice Requires="x15">
      <x15ac:absPath xmlns:x15ac="http://schemas.microsoft.com/office/spreadsheetml/2010/11/ac" url="/Users/dharmikpatel/Downloads/"/>
    </mc:Choice>
  </mc:AlternateContent>
  <xr:revisionPtr revIDLastSave="0" documentId="8_{B98C493F-4C24-8740-A346-47B8CF2D36D1}" xr6:coauthVersionLast="47" xr6:coauthVersionMax="47" xr10:uidLastSave="{00000000-0000-0000-0000-000000000000}"/>
  <bookViews>
    <workbookView xWindow="4440" yWindow="740" windowWidth="24960" windowHeight="17040" xr2:uid="{00000000-000D-0000-FFFF-FFFF00000000}"/>
  </bookViews>
  <sheets>
    <sheet name="PMT" sheetId="1" r:id="rId1"/>
    <sheet name="Macro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1" l="1"/>
  <c r="A29" i="1"/>
  <c r="C28" i="1"/>
  <c r="A28" i="1"/>
  <c r="C27" i="1"/>
  <c r="A27" i="1"/>
  <c r="C26" i="1"/>
  <c r="A26" i="1"/>
  <c r="C25" i="1"/>
  <c r="A25" i="1"/>
  <c r="C24" i="1"/>
  <c r="A24" i="1"/>
  <c r="C23" i="1"/>
  <c r="A23" i="1"/>
  <c r="C22" i="1"/>
  <c r="A22" i="1"/>
  <c r="C21" i="1"/>
  <c r="A21" i="1"/>
  <c r="C20" i="1"/>
  <c r="A20" i="1"/>
  <c r="C19" i="1"/>
  <c r="A19" i="1"/>
  <c r="B16" i="1"/>
  <c r="B10" i="1"/>
</calcChain>
</file>

<file path=xl/sharedStrings.xml><?xml version="1.0" encoding="utf-8"?>
<sst xmlns="http://schemas.openxmlformats.org/spreadsheetml/2006/main" count="34" uniqueCount="17">
  <si>
    <t>Name:</t>
  </si>
  <si>
    <t>Date:</t>
  </si>
  <si>
    <t>05/23/2024</t>
  </si>
  <si>
    <t>Assignment:</t>
  </si>
  <si>
    <t>Course:</t>
  </si>
  <si>
    <t>Finance 101</t>
  </si>
  <si>
    <t>Loan Amount</t>
  </si>
  <si>
    <t>Annual Interest Rate</t>
  </si>
  <si>
    <t>Number of Years</t>
  </si>
  <si>
    <t>Payments per Year</t>
  </si>
  <si>
    <t>Monthly Payment (PMT)</t>
  </si>
  <si>
    <t>Monthly Payment (Formula)</t>
  </si>
  <si>
    <t>Rate per Month</t>
  </si>
  <si>
    <t>Annual Rate</t>
  </si>
  <si>
    <t>Monthly Payment</t>
  </si>
  <si>
    <t>Dharmik Patel</t>
  </si>
  <si>
    <t>CP212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</si>
</sst>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$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Monthly Payment vs Annual Rate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PMT!$C$18</c:f>
              <c:strCache>
                <c:ptCount val="1"/>
                <c:pt idx="0">
                  <c:v>Monthly Payment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PMT!$B$19:$B$29</c:f>
              <c:numCache>
                <c:formatCode>0.00%</c:formatCode>
                <c:ptCount val="11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</c:numCache>
            </c:numRef>
          </c:cat>
          <c:val>
            <c:numRef>
              <c:f>PMT!$C$19:$C$29</c:f>
              <c:numCache>
                <c:formatCode>\$#,##0.00</c:formatCode>
                <c:ptCount val="11"/>
                <c:pt idx="0">
                  <c:v>525.83280159733135</c:v>
                </c:pt>
                <c:pt idx="1">
                  <c:v>532.4208481644082</c:v>
                </c:pt>
                <c:pt idx="2">
                  <c:v>539.06071992189413</c:v>
                </c:pt>
                <c:pt idx="3">
                  <c:v>545.752349107692</c:v>
                </c:pt>
                <c:pt idx="4">
                  <c:v>552.49566165799058</c:v>
                </c:pt>
                <c:pt idx="5">
                  <c:v>559.29057724549943</c:v>
                </c:pt>
                <c:pt idx="6">
                  <c:v>566.13700932032805</c:v>
                </c:pt>
                <c:pt idx="7">
                  <c:v>573.03486515346731</c:v>
                </c:pt>
                <c:pt idx="8">
                  <c:v>579.98404588283745</c:v>
                </c:pt>
                <c:pt idx="9">
                  <c:v>586.9844465618562</c:v>
                </c:pt>
                <c:pt idx="10">
                  <c:v>594.03595621048612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AF-8B4E-A65C-E9AF4A141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Annual Rate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Monthly Payment</a:t>
                </a:r>
              </a:p>
            </c:rich>
          </c:tx>
          <c:overlay val="0"/>
        </c:title>
        <c:numFmt formatCode="\$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17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9"/>
  <sheetViews>
    <sheetView tabSelected="1" workbookViewId="0">
      <selection activeCell="D3" sqref="D3"/>
    </sheetView>
  </sheetViews>
  <sheetFormatPr baseColWidth="10" defaultColWidth="8.83203125" defaultRowHeight="15" x14ac:dyDescent="0.2"/>
  <cols>
    <col min="2" max="2" width="10.1640625" bestFit="1" customWidth="1"/>
  </cols>
  <sheetData>
    <row r="1" spans="1:2" x14ac:dyDescent="0.2">
      <c r="A1" t="s">
        <v>0</v>
      </c>
      <c r="B1" t="s">
        <v>15</v>
      </c>
    </row>
    <row r="2" spans="1:2" x14ac:dyDescent="0.2">
      <c r="A2" t="s">
        <v>1</v>
      </c>
      <c r="B2" t="s">
        <v>2</v>
      </c>
    </row>
    <row r="3" spans="1:2" x14ac:dyDescent="0.2">
      <c r="A3" t="s">
        <v>3</v>
      </c>
      <c r="B3" s="3">
        <v>1</v>
      </c>
    </row>
    <row r="4" spans="1:2" x14ac:dyDescent="0.2">
      <c r="A4" t="s">
        <v>4</v>
      </c>
      <c r="B4" t="s">
        <v>5</v>
      </c>
    </row>
    <row r="6" spans="1:2" x14ac:dyDescent="0.2">
      <c r="A6" t="s">
        <v>6</v>
      </c>
      <c r="B6" s="1">
        <v>30000</v>
      </c>
    </row>
    <row r="7" spans="1:2" x14ac:dyDescent="0.2">
      <c r="A7" t="s">
        <v>7</v>
      </c>
      <c r="B7" s="1">
        <v>7.0000000000000007E-2</v>
      </c>
    </row>
    <row r="8" spans="1:2" x14ac:dyDescent="0.2">
      <c r="A8" t="s">
        <v>8</v>
      </c>
      <c r="B8" s="1">
        <v>5</v>
      </c>
    </row>
    <row r="9" spans="1:2" x14ac:dyDescent="0.2">
      <c r="A9" t="s">
        <v>9</v>
      </c>
      <c r="B9" s="1">
        <v>12</v>
      </c>
    </row>
    <row r="10" spans="1:2" x14ac:dyDescent="0.2">
      <c r="A10" t="s">
        <v>10</v>
      </c>
      <c r="B10" s="1">
        <f>ABS(PMT(B7/B9, B8*B9, B6))</f>
        <v>594.03595621048612</v>
      </c>
    </row>
    <row r="11" spans="1:2" x14ac:dyDescent="0.2">
      <c r="B11" s="1"/>
    </row>
    <row r="12" spans="1:2" x14ac:dyDescent="0.2">
      <c r="A12" t="s">
        <v>6</v>
      </c>
      <c r="B12" s="1">
        <v>30000</v>
      </c>
    </row>
    <row r="13" spans="1:2" x14ac:dyDescent="0.2">
      <c r="A13" t="s">
        <v>7</v>
      </c>
      <c r="B13" s="1">
        <v>7.0000000000000007E-2</v>
      </c>
    </row>
    <row r="14" spans="1:2" x14ac:dyDescent="0.2">
      <c r="A14" t="s">
        <v>8</v>
      </c>
      <c r="B14" s="1">
        <v>5</v>
      </c>
    </row>
    <row r="15" spans="1:2" x14ac:dyDescent="0.2">
      <c r="A15" t="s">
        <v>9</v>
      </c>
      <c r="B15" s="1">
        <v>12</v>
      </c>
    </row>
    <row r="16" spans="1:2" x14ac:dyDescent="0.2">
      <c r="A16" t="s">
        <v>11</v>
      </c>
      <c r="B16" s="1">
        <f>ABS((B13/B15*B12) / (1 - (1 + B13/B15)^(-B14*B15)))</f>
        <v>594.0359562104843</v>
      </c>
    </row>
    <row r="18" spans="1:3" x14ac:dyDescent="0.2">
      <c r="A18" t="s">
        <v>12</v>
      </c>
      <c r="B18" t="s">
        <v>13</v>
      </c>
      <c r="C18" t="s">
        <v>14</v>
      </c>
    </row>
    <row r="19" spans="1:3" x14ac:dyDescent="0.2">
      <c r="A19">
        <f t="shared" ref="A19:A29" si="0">B19/12</f>
        <v>1.6666666666666668E-3</v>
      </c>
      <c r="B19" s="2">
        <v>0.02</v>
      </c>
      <c r="C19" s="1">
        <f t="shared" ref="C19:C29" si="1">ABS(PMT(B19/12, $B$8*$B$9, $B$6))</f>
        <v>525.83280159733135</v>
      </c>
    </row>
    <row r="20" spans="1:3" x14ac:dyDescent="0.2">
      <c r="A20">
        <f t="shared" si="0"/>
        <v>2.0833333333333333E-3</v>
      </c>
      <c r="B20" s="2">
        <v>2.5000000000000001E-2</v>
      </c>
      <c r="C20" s="1">
        <f t="shared" si="1"/>
        <v>532.4208481644082</v>
      </c>
    </row>
    <row r="21" spans="1:3" x14ac:dyDescent="0.2">
      <c r="A21">
        <f t="shared" si="0"/>
        <v>2.5000000000000001E-3</v>
      </c>
      <c r="B21" s="2">
        <v>0.03</v>
      </c>
      <c r="C21" s="1">
        <f t="shared" si="1"/>
        <v>539.06071992189413</v>
      </c>
    </row>
    <row r="22" spans="1:3" x14ac:dyDescent="0.2">
      <c r="A22">
        <f t="shared" si="0"/>
        <v>2.9166666666666668E-3</v>
      </c>
      <c r="B22" s="2">
        <v>3.5000000000000003E-2</v>
      </c>
      <c r="C22" s="1">
        <f t="shared" si="1"/>
        <v>545.752349107692</v>
      </c>
    </row>
    <row r="23" spans="1:3" x14ac:dyDescent="0.2">
      <c r="A23">
        <f t="shared" si="0"/>
        <v>3.3333333333333335E-3</v>
      </c>
      <c r="B23" s="2">
        <v>0.04</v>
      </c>
      <c r="C23" s="1">
        <f t="shared" si="1"/>
        <v>552.49566165799058</v>
      </c>
    </row>
    <row r="24" spans="1:3" x14ac:dyDescent="0.2">
      <c r="A24">
        <f t="shared" si="0"/>
        <v>3.7499999999999999E-3</v>
      </c>
      <c r="B24" s="2">
        <v>4.4999999999999998E-2</v>
      </c>
      <c r="C24" s="1">
        <f t="shared" si="1"/>
        <v>559.29057724549943</v>
      </c>
    </row>
    <row r="25" spans="1:3" x14ac:dyDescent="0.2">
      <c r="A25">
        <f t="shared" si="0"/>
        <v>4.1666666666666666E-3</v>
      </c>
      <c r="B25" s="2">
        <v>0.05</v>
      </c>
      <c r="C25" s="1">
        <f t="shared" si="1"/>
        <v>566.13700932032805</v>
      </c>
    </row>
    <row r="26" spans="1:3" x14ac:dyDescent="0.2">
      <c r="A26">
        <f t="shared" si="0"/>
        <v>4.5833333333333334E-3</v>
      </c>
      <c r="B26" s="2">
        <v>5.5E-2</v>
      </c>
      <c r="C26" s="1">
        <f t="shared" si="1"/>
        <v>573.03486515346731</v>
      </c>
    </row>
    <row r="27" spans="1:3" x14ac:dyDescent="0.2">
      <c r="A27">
        <f t="shared" si="0"/>
        <v>5.0000000000000001E-3</v>
      </c>
      <c r="B27" s="2">
        <v>0.06</v>
      </c>
      <c r="C27" s="1">
        <f t="shared" si="1"/>
        <v>579.98404588283745</v>
      </c>
    </row>
    <row r="28" spans="1:3" x14ac:dyDescent="0.2">
      <c r="A28">
        <f t="shared" si="0"/>
        <v>5.4166666666666669E-3</v>
      </c>
      <c r="B28" s="2">
        <v>6.5000000000000002E-2</v>
      </c>
      <c r="C28" s="1">
        <f t="shared" si="1"/>
        <v>586.9844465618562</v>
      </c>
    </row>
    <row r="29" spans="1:3" x14ac:dyDescent="0.2">
      <c r="A29">
        <f t="shared" si="0"/>
        <v>5.8333333333333336E-3</v>
      </c>
      <c r="B29" s="2">
        <v>7.0000000000000007E-2</v>
      </c>
      <c r="C29" s="1">
        <f t="shared" si="1"/>
        <v>594.03595621048612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1"/>
  <sheetViews>
    <sheetView workbookViewId="0">
      <selection activeCell="C3" sqref="C3"/>
    </sheetView>
  </sheetViews>
  <sheetFormatPr baseColWidth="10" defaultColWidth="8.83203125" defaultRowHeight="15" x14ac:dyDescent="0.2"/>
  <sheetData>
    <row r="1" spans="1:3" x14ac:dyDescent="0.2">
      <c r="A1" t="s">
        <v>0</v>
      </c>
      <c r="B1" t="s">
        <v>15</v>
      </c>
    </row>
    <row r="2" spans="1:3" x14ac:dyDescent="0.2">
      <c r="A2" t="s">
        <v>1</v>
      </c>
      <c r="B2" t="s">
        <v>2</v>
      </c>
    </row>
    <row r="3" spans="1:3" x14ac:dyDescent="0.2">
      <c r="A3" t="s">
        <v>3</v>
      </c>
      <c r="B3" s="3">
        <v>1</v>
      </c>
    </row>
    <row r="4" spans="1:3" x14ac:dyDescent="0.2">
      <c r="A4" t="s">
        <v>4</v>
      </c>
      <c r="B4" t="s">
        <v>16</v>
      </c>
    </row>
    <row r="6" spans="1:3" x14ac:dyDescent="0.2">
      <c r="A6" t="s">
        <v>6</v>
      </c>
      <c r="B6">
        <v>30000</v>
      </c>
    </row>
    <row r="7" spans="1:3" x14ac:dyDescent="0.2">
      <c r="A7" t="s">
        <v>7</v>
      </c>
      <c r="B7">
        <v>7.0000000000000007E-2</v>
      </c>
    </row>
    <row r="8" spans="1:3" x14ac:dyDescent="0.2">
      <c r="A8" t="s">
        <v>8</v>
      </c>
      <c r="B8">
        <v>5</v>
      </c>
    </row>
    <row r="9" spans="1:3" x14ac:dyDescent="0.2">
      <c r="A9" t="s">
        <v>9</v>
      </c>
      <c r="B9">
        <v>12</v>
      </c>
    </row>
    <row r="11" spans="1:3" x14ac:dyDescent="0.2">
      <c r="A11" t="s">
        <v>12</v>
      </c>
      <c r="B11" t="s">
        <v>13</v>
      </c>
      <c r="C11" t="s">
        <v>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PMT</vt:lpstr>
      <vt:lpstr>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Dharmik Patel</cp:lastModifiedBy>
  <dcterms:created xsi:type="dcterms:W3CDTF">2024-05-26T19:05:53Z</dcterms:created>
  <dcterms:modified xsi:type="dcterms:W3CDTF">2024-05-26T19:08:35Z</dcterms:modified>
</cp:coreProperties>
</file>